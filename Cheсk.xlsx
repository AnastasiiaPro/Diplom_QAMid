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3160" windowHeight="8796"/>
  </bookViews>
  <sheets>
    <sheet name="ДЗ Версия 1" sheetId="1" r:id="rId1"/>
    <sheet name="ДЗ Версия 2" sheetId="2" r:id="rId2"/>
    <sheet name="Лист1" sheetId="3" r:id="rId3"/>
  </sheets>
  <calcPr calcId="145621" iterateDelta="1E-4"/>
</workbook>
</file>

<file path=xl/calcChain.xml><?xml version="1.0" encoding="utf-8"?>
<calcChain xmlns="http://schemas.openxmlformats.org/spreadsheetml/2006/main">
  <c r="A9" i="3" l="1"/>
  <c r="A14" i="3"/>
  <c r="A32" i="3"/>
  <c r="A57" i="3"/>
  <c r="A113" i="3"/>
  <c r="A127" i="3"/>
  <c r="A128" i="3"/>
  <c r="A130" i="3"/>
</calcChain>
</file>

<file path=xl/sharedStrings.xml><?xml version="1.0" encoding="utf-8"?>
<sst xmlns="http://schemas.openxmlformats.org/spreadsheetml/2006/main" count="411" uniqueCount="172">
  <si>
    <t>Группа проверок/модуль</t>
  </si>
  <si>
    <t>Проверка</t>
  </si>
  <si>
    <t>Приоритет</t>
  </si>
  <si>
    <t>High</t>
  </si>
  <si>
    <t>Medium</t>
  </si>
  <si>
    <t>Pass</t>
  </si>
  <si>
    <t>Выход из учетной записи</t>
  </si>
  <si>
    <t>Fail</t>
  </si>
  <si>
    <t>Pass/Fail</t>
  </si>
  <si>
    <t>Развернуть цитату</t>
  </si>
  <si>
    <t>Свернуть цитату</t>
  </si>
  <si>
    <t xml:space="preserve">Переход в предыдущий раздел или страницу через стрелку назад </t>
  </si>
  <si>
    <t>Страница "Цитаты"</t>
  </si>
  <si>
    <t>Страница "Панель управления"</t>
  </si>
  <si>
    <t>Переход на страницу "Фильтр новостей"</t>
  </si>
  <si>
    <t>Раздел "Главная"</t>
  </si>
  <si>
    <t>Раздел "О приложении"</t>
  </si>
  <si>
    <t>Страница "Фильтр 
новостей" в разделе "Новости"</t>
  </si>
  <si>
    <t>Страница "Редактирование новостей" в панели управления</t>
  </si>
  <si>
    <t>Страница "Авторизация"</t>
  </si>
  <si>
    <t>Переход по ссылке "Пользовательское соглашение"</t>
  </si>
  <si>
    <t>Переход по ссылке "Политика конфиденциальности"</t>
  </si>
  <si>
    <t>Переход в раздел "Главная" через меню навигации</t>
  </si>
  <si>
    <t>Переход в раздел "О приложении" через меню навигации</t>
  </si>
  <si>
    <t>Переход в раздел "Новости" через меню навигации</t>
  </si>
  <si>
    <t>Переход в раздел "Новости" через кнопу "Все новости"</t>
  </si>
  <si>
    <t>Переход на страницу "Цитаты"</t>
  </si>
  <si>
    <t>№</t>
  </si>
  <si>
    <t>Ограничение количества попыток авторизации незарегистрированного пользователя</t>
  </si>
  <si>
    <t>Вставка в поля авторизации данных из буфера обмена</t>
  </si>
  <si>
    <t>Скрытие описания новостного блока</t>
  </si>
  <si>
    <t>Раскрытие описания новостного блока</t>
  </si>
  <si>
    <t xml:space="preserve">№ </t>
  </si>
  <si>
    <t>Переход на страницу "Панель управления"</t>
  </si>
  <si>
    <t>Сортировка новостей от поздней к новой</t>
  </si>
  <si>
    <t>Сортировка новостей от новой к поздней</t>
  </si>
  <si>
    <t>Фильтрация новостей по категории "Объявление"</t>
  </si>
  <si>
    <t>Фильтрация новостей по категории "День рождения"</t>
  </si>
  <si>
    <t>Фильтрация новостей по категории "Зарплата"</t>
  </si>
  <si>
    <t>Фильтрация новостей по категории "Профсоюз"</t>
  </si>
  <si>
    <t>Фильтрация новостей по категории "Праздник"</t>
  </si>
  <si>
    <t>Фильтрация новостей по категории "Массаж"</t>
  </si>
  <si>
    <t>Фильтрация новостей по категории "Благодарность"</t>
  </si>
  <si>
    <t>Фильтрация новостей по категории "Нужна помощь"</t>
  </si>
  <si>
    <t>Фильтрация новостей по дате публикации новости за выбранный период (два поля заполнены)</t>
  </si>
  <si>
    <t>Фильтрация новостей по дате публикации новостей, отсутствующих в заданном периоде</t>
  </si>
  <si>
    <t>Сброс фильтра при фильтрации по существующих категории  новостей</t>
  </si>
  <si>
    <t>Фильтрация новостей без указания категории</t>
  </si>
  <si>
    <t>Переход на страницу "Создание новостей"</t>
  </si>
  <si>
    <t xml:space="preserve">Удаление новостного блока </t>
  </si>
  <si>
    <t xml:space="preserve">Отмена удаления новостного блока </t>
  </si>
  <si>
    <t>Фильтрация новостей по статусу "Активна"</t>
  </si>
  <si>
    <t>Фильтрация новостей по статусу "Неактивна"</t>
  </si>
  <si>
    <t>Переход на страницу "Редактирование новостей"</t>
  </si>
  <si>
    <t>Создание новости c пустым полем "Заголовок"</t>
  </si>
  <si>
    <t>Создание новости с пустым полем "Дата публикации"</t>
  </si>
  <si>
    <t>Создание новости с пустым полем "Время"</t>
  </si>
  <si>
    <t>Создание новости с пустым полем "Описание"</t>
  </si>
  <si>
    <t>Создание новости c пустыми полями</t>
  </si>
  <si>
    <t xml:space="preserve">Редактирование новости путём изменения данных всей формы </t>
  </si>
  <si>
    <t xml:space="preserve">Сброс фильтра при  фильтрации по отсутствующей категории новостей </t>
  </si>
  <si>
    <t>Создание новости с заполненными полями</t>
  </si>
  <si>
    <t>Создание новости без указания категории</t>
  </si>
  <si>
    <t># План по проверке и автоматизации приложения «Мобильный хоспис».</t>
  </si>
  <si>
    <t>## Описание приложения</t>
  </si>
  <si>
    <t>Приложение даёт функционал по работе с новостями хосписа и включает в себя:</t>
  </si>
  <si>
    <t>- информацию о новостях и функционал для работы с ними;</t>
  </si>
  <si>
    <t>- цитаты;</t>
  </si>
  <si>
    <t>## Исходные данные</t>
  </si>
  <si>
    <t>- Архив с приложением;</t>
  </si>
  <si>
    <t>## 1 этап. Определение "границ" приложения.</t>
  </si>
  <si>
    <t>Приложение состоит из универсальной верхней панели с тремя кнопками, и выбранным её функционалом в основной части экрана приложения.</t>
  </si>
  <si>
    <t>### Универсальная верхняя панель состоит из:</t>
  </si>
  <si>
    <t>![Верх панель.png](Screen%2F%C2%E5%F0%F5%20%EF%E0%ED%E5%EB%FC.png)</t>
  </si>
  <si>
    <t>- Кнопка (иконка "три полоски") - Навигационное меню;</t>
  </si>
  <si>
    <t>- Название мобильного приложения "вхосписе"</t>
  </si>
  <si>
    <t>- Кнопка (иконка "бабочка") - Цитаты;</t>
  </si>
  <si>
    <t>- Кнопка (иконка "человек") - Выход из авторизации.</t>
  </si>
  <si>
    <t>### Навигационное меню (иконка "три полоски") состоит из:</t>
  </si>
  <si>
    <t>![3 полоски.png](Screen%2F3%20%EF%EE%EB%EE%F1%EA%E8.png)</t>
  </si>
  <si>
    <t>- Главная;</t>
  </si>
  <si>
    <t>- Новости;</t>
  </si>
  <si>
    <t>### Раздел **"Главная"** состоит из:</t>
  </si>
  <si>
    <t>![Главная.png](Screen%2F%C3%EB%E0%E2%ED%E0%FF.png)</t>
  </si>
  <si>
    <t>- Универсальная верхняя панель;</t>
  </si>
  <si>
    <t>- "Новости" - новостную сводку хосписа в виде ленты, из последних трех новостей (отдельных блоков), которую можно развернуть, свернуть;</t>
  </si>
  <si>
    <t>- Кнопку - "ВСЕ НОВОСТИ" для перехода в раздел "Новости", для просмотра полной ленты новостных блоков, а так же для доступа к функционалу раздела;</t>
  </si>
  <si>
    <t>- Новостные блоки, которые можно развернуть, свернуть, для подробного просмотра.</t>
  </si>
  <si>
    <t>### Раздел **"Новости"** состоит из:</t>
  </si>
  <si>
    <t>![Новости.png](Screen%2F%CD%EE%E2%EE%F1%F2%E8.png)</t>
  </si>
  <si>
    <t>- Кнопка (иконка двух стрелок указывающих вверх и вниз), при нажатии лента новостей меняется, вверху списка появляются созданные раньше всех новости, внизу созданные позже всех, при повторном нажатии - в первоначальное положение;</t>
  </si>
  <si>
    <t>- Кнопка (иконка "три полоски с кружками"), при нажатии осуществляет переход в **"Фильтр новостей"** для осуществления поиска новости, новостей с использованием фильтров содержащих поля: категории("Объявление", "День рождения", "Зарплата", "Профсоюз", "Пр</t>
  </si>
  <si>
    <t>- Кнопка (иконка "блокнота с карандашом") при нажатии осуществляет переход в **"Панель управления"** для доступа к функциям управления новостями;</t>
  </si>
  <si>
    <t>- Новостная сводка хосписа в виде ленты новостей (отдельных блоков в виде заголовка и даты публикации) с категориями, отсортированных по дате от самой ранней к самой поздней, блоки можно развернуть и свернуть для просмотра описания.</t>
  </si>
  <si>
    <t>### Раздел **""О приложении""** состоит из:</t>
  </si>
  <si>
    <t>![О приложении.png](Screen%2F%CE%20%EF%F0%E8%EB%EE%E6%E5%ED%E8%E8.png)</t>
  </si>
  <si>
    <t>- Кнопка назад "&lt;" для осуществления перехода к предыдущей странице или разделу;</t>
  </si>
  <si>
    <t>- Информацию о версии приложения;</t>
  </si>
  <si>
    <t>- Две ссылки с информацией ("Пользовательское соглашение", "Политика конфиденциальности");</t>
  </si>
  <si>
    <t>#### Страница **"Фильтр новостей" в разделе "Новости"** состоит из:</t>
  </si>
  <si>
    <t>![Фильтр новостей.png](Screen%2F%D4%E8%EB%FC%F2%F0%20%ED%EE%E2%EE%F1%F2%E5%E9.png)</t>
  </si>
  <si>
    <t>- Поле "Категория" - выпадающee меню категорий ("Объявление", "День рождения", "Зарплата", "Профсоюз", "Праздник", "Массаж", "Благодарность", "Нужна помощь");</t>
  </si>
  <si>
    <t>- Поле для выбора и установки даты с использованием всплывающего окна с календарем (управление происходит двумя кнопками "&lt;", "&gt;" смены месяца, года, а так же выбором числа месяца путем клика по нему) для поиска;</t>
  </si>
  <si>
    <t>- Кнопкаa "ФИЛЬТРОВАТЬ" - для активации фильтрации;</t>
  </si>
  <si>
    <t>- Кнопкаa "ОТМЕНИТЬ" - для отмены фильтрации.</t>
  </si>
  <si>
    <t>#### Страница **"Панель управления"** состоит из:</t>
  </si>
  <si>
    <t>![Панель управления.png](Screen%2F%CF%E0%ED%E5%EB%FC%20%F3%EF%F0%E0%E2%EB%E5%ED%E8%FF.png)</t>
  </si>
  <si>
    <t>- Кнопка сортировки по дате (иконка "дву стрелки указывающих вверх и вниз"), при нажатии лента новостей меняется, вверху списка появляются созданные раньше всех новости, внизу созданные позже всех, при повторном нажатии - в первоначальное положение;</t>
  </si>
  <si>
    <t>- Кнопка фильтрации по категории и периоду (иконка "три полоски с кружками"), при нажатии осуществляет переход в **"Фильтр новостей"** для осуществления поиска новости, новостей с использованием фильтров содержащих поля: категории("Объявление", "День рожд</t>
  </si>
  <si>
    <t>- Кнопка (иконка плюса в кружке) при нажатии осуществляет переход в **"Создание новостей"** для доступа к созданию блока новостей;</t>
  </si>
  <si>
    <t>- Новостную сводку хосписа в виде ленты новостей (отдельных блоков в виде заголовка, даты публикации, даты создания, автора, статуса) с иконкой категории, отсортированных по дате от самой ранней к самой поздней, блоки можно развернуть и свернуть для просм</t>
  </si>
  <si>
    <t>#### Страница **"Фильтр новостей" в панели управления** состоит из:</t>
  </si>
  <si>
    <t>![ФН в панели управления.png](Screen%2F%D4%CD%20%E2%20%EF%E0%ED%E5%EB%E8%20%F3%EF%F0%E0%E2%EB%E5%ED%E8%FF.png)</t>
  </si>
  <si>
    <t>- Поле "Категория" - выпадающee меню категорий ("Объявление", "День рождения", "Зарплата", "Профсоюз", "Праздник", "Массаж","Благодарность","Нужна помощь");</t>
  </si>
  <si>
    <t>- Поле для выбора и установки даты с использованием всплывающего окна с календарем (управление происходит двумя кнопками "&lt;", "&gt;" смены месяца, года, а так же выбором числа месяца путем клика по нему) для поиска</t>
  </si>
  <si>
    <t>- Статус - выбор c помощью чек-бокса "Активный"/"Неактивный";</t>
  </si>
  <si>
    <t>- Кнопкаa "ФИЛЬТРОВАТЬ" - для активации фильтрации</t>
  </si>
  <si>
    <t>- Кнопкаa "ОТМЕНИТЬ" - для отмены фильтрации</t>
  </si>
  <si>
    <t>#### Страница **"Создание новостей" в панели управления** состоит из:</t>
  </si>
  <si>
    <t>![Создание новостей.png](Screen%2F%D1%EE%E7%E4%E0%ED%E8%E5%20%ED%EE%E2%EE%F1%F2%E5%E9.png)</t>
  </si>
  <si>
    <t>- Поле "Категория" - выпадающee меню категорий ("Объявление", "День рождения", "Зарплата", "Профсоюз", "Праздник", "Массаж", "Благодарность","Нужна помощь");</t>
  </si>
  <si>
    <t>- Поле "Заголовок" - название новостного блока;</t>
  </si>
  <si>
    <t>- Поле "Дата публикации" - использование всплывающего окна с календарем (управление происходит двумя кнопками "&lt;", "&gt;" смены месяца, года, а так же выбором числа месяца путем клика по нему) и кнопками "ОТМЕНИТЬ"/"СОХРАНИТЬ";</t>
  </si>
  <si>
    <t>- Поле "Время" - использование всплывающего окна с круговым циферблатом (управление происходит с помощью выбора цифр в часовом и минутном круге путем клика по ним) или кнопки ((иконки "клавиатура"), при клике на которую всплывает окно "Установить время" c</t>
  </si>
  <si>
    <t>- Поле "Описание" - описание новостного блока;</t>
  </si>
  <si>
    <t>- Кнопки "СОХРАНИТЬ"/"ОТМЕНИТЬ" - сохранение/не сохранение новостного блока.</t>
  </si>
  <si>
    <t>#### **"Редактирование новостей"** состоит из:</t>
  </si>
  <si>
    <t>![Редактирование новостей.png](Screen%2F%D0%E5%E4%E0%EA%F2%E8%F0%EE%E2%E0%ED%E8%E5%20%ED%EE%E2%EE%F1%F2%E5%E9.png)</t>
  </si>
  <si>
    <t>## 2 этап. Типы тестирования.</t>
  </si>
  <si>
    <t>В процессе тестирования мобильного приложения применяются различные типы тестирования, каждый из которых проверяет определённые аспекты работы приложения. Вот основные типы тестирования и то, что именно будет проверяться в каждом из них:</t>
  </si>
  <si>
    <t>1. Функциональное тестирование:</t>
  </si>
  <si>
    <t>- Корректная работа всех функций приложения (авторизация, выход, переход между экранами, создание, редактирование, удаление новостей и т.д.).</t>
  </si>
  <si>
    <t>- Отсутствие ошибок при взаимодействии с приложением (например, ввод данных, фильтрация новостей).</t>
  </si>
  <si>
    <t>2. Тестирование юзабилити (Usability Testing):</t>
  </si>
  <si>
    <t>- Ожидаемое поведение при взаимодействии (переходы по ссылкам, действия при нажатии кнопок).</t>
  </si>
  <si>
    <t>3. Тестирование пользовательского интерфейса (UI Testing):</t>
  </si>
  <si>
    <t>- Работа всех элементов интерфейса (кнопки, выпадающие меню, поля ввода).</t>
  </si>
  <si>
    <t>## Перечень используемых инструментов</t>
  </si>
  <si>
    <t>- Android API 29 - изначальное требование к проекту</t>
  </si>
  <si>
    <t>- Allure - популярный инструмент построения отчётов автотестов, упрощающий их анализ</t>
  </si>
  <si>
    <t>### Окружение для тестирования</t>
  </si>
  <si>
    <t>- Устройство: Pixel 3a</t>
  </si>
  <si>
    <t>- Дисплей: 5.6" 2220 х 1080</t>
  </si>
  <si>
    <t>- Версия Android: Android 10</t>
  </si>
  <si>
    <t>- RAM: 2,0 Гб</t>
  </si>
  <si>
    <t>- Память телефона: 16 ГБ</t>
  </si>
  <si>
    <t xml:space="preserve">Отправка формы авторизации с валидными данными </t>
  </si>
  <si>
    <t>Отправка формы авторизации с невалидными данными</t>
  </si>
  <si>
    <t>Отправка пустой формы авторизации</t>
  </si>
  <si>
    <t>Отправка формы авторизации с валидными данными поля "Логин" и пустым полем "Пароль"</t>
  </si>
  <si>
    <t>Отправка формы авторизации с валидными  данными поля "Пароль" и пустым полем "Логин"</t>
  </si>
  <si>
    <t>Отправка формы авторизации с невалидными данными поля "Логин" и пустым полем "Пароль"</t>
  </si>
  <si>
    <t>Отправка формы авторизации с невалидными  данными поля "Пароль" и пустым полем "Логин"</t>
  </si>
  <si>
    <t>Ввод граничных значений в поле "Заголовок"</t>
  </si>
  <si>
    <t>Ввод граничных значений в поле "Описание"</t>
  </si>
  <si>
    <t>Wi-fi, мобильная связь</t>
  </si>
  <si>
    <t>Работа приложения при отключении/подключении интернета</t>
  </si>
  <si>
    <t>Восстановление/смена пароля</t>
  </si>
  <si>
    <t>Скрыть/показать пароль (иконка с глазом)</t>
  </si>
  <si>
    <t>Специальные возможности</t>
  </si>
  <si>
    <t>Служба поддрежки</t>
  </si>
  <si>
    <t>Обратная связь</t>
  </si>
  <si>
    <t xml:space="preserve">Работа приложения с увеличенным шрифтом </t>
  </si>
  <si>
    <t>Раздел "Новости"</t>
  </si>
  <si>
    <t>Фильтрация новостей по дате публикации новости с заполнением 1го поля даты (с пустым 2ым полем)</t>
  </si>
  <si>
    <t>Фильтрация новостей по дате публикации новости с заполнением 2го поля даты (с пустым 1ым полем)</t>
  </si>
  <si>
    <t xml:space="preserve">Сброс фильтра при фильтрации по отсутствующей категории новостей </t>
  </si>
  <si>
    <t>Страница "Фильтр новостей" в "Панели управления"</t>
  </si>
  <si>
    <t>Страница "Создание новостей" в "Панели управления"</t>
  </si>
  <si>
    <t>Отмена создания новости c заполненными полями</t>
  </si>
  <si>
    <t>Смена статуса "Активна" на статус "Неактивна"</t>
  </si>
  <si>
    <t>Отмена редактирования новости c заполненными полями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</si>
</sst>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2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0"/>
      <color rgb="FF000000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1">
    <xf numFmtId="0" fontId="0" fillId="0" borderId="0" xfId="0" applyFont="1" applyAlignment="1"/>
    <xf numFmtId="0" fontId="3" fillId="2" borderId="1" xfId="0" applyFont="1" applyFill="1" applyBorder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3" fillId="0" borderId="1" xfId="0" applyFont="1" applyBorder="1"/>
    <xf numFmtId="0" fontId="3" fillId="0" borderId="1" xfId="0" applyFont="1" applyBorder="1" applyAlignment="1"/>
    <xf numFmtId="0" fontId="7" fillId="0" borderId="5" xfId="0" applyFont="1" applyBorder="1"/>
    <xf numFmtId="0" fontId="7" fillId="0" borderId="0" xfId="0" applyFont="1" applyAlignment="1"/>
    <xf numFmtId="0" fontId="9" fillId="0" borderId="5" xfId="0" applyFont="1" applyBorder="1" applyAlignment="1"/>
    <xf numFmtId="0" fontId="7" fillId="0" borderId="5" xfId="0" applyFont="1" applyBorder="1" applyAlignment="1"/>
    <xf numFmtId="0" fontId="7" fillId="5" borderId="5" xfId="0" applyFont="1" applyFill="1" applyBorder="1"/>
    <xf numFmtId="0" fontId="7" fillId="0" borderId="5" xfId="0" applyFont="1" applyBorder="1" applyAlignment="1">
      <alignment horizontal="center" vertical="center"/>
    </xf>
    <xf numFmtId="0" fontId="7" fillId="5" borderId="0" xfId="0" applyFont="1" applyFill="1" applyAlignment="1"/>
    <xf numFmtId="0" fontId="8" fillId="7" borderId="5" xfId="0" applyFont="1" applyFill="1" applyBorder="1" applyAlignment="1">
      <alignment horizontal="center" vertical="center" wrapText="1"/>
    </xf>
    <xf numFmtId="0" fontId="7" fillId="7" borderId="5" xfId="0" applyFont="1" applyFill="1" applyBorder="1"/>
    <xf numFmtId="0" fontId="7" fillId="7" borderId="5" xfId="0" applyFont="1" applyFill="1" applyBorder="1" applyAlignment="1"/>
    <xf numFmtId="0" fontId="7" fillId="7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0" fillId="0" borderId="0" xfId="0" applyFont="1" applyAlignment="1"/>
    <xf numFmtId="0" fontId="7" fillId="5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3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5" borderId="5" xfId="0" applyFont="1" applyFill="1" applyBorder="1" applyAlignment="1"/>
    <xf numFmtId="0" fontId="8" fillId="0" borderId="0" xfId="0" applyFont="1" applyAlignment="1"/>
    <xf numFmtId="0" fontId="7" fillId="5" borderId="5" xfId="0" applyFont="1" applyFill="1" applyBorder="1" applyAlignment="1">
      <alignment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12"/>
  <sheetViews>
    <sheetView tabSelected="1" topLeftCell="B1" zoomScale="85" zoomScaleNormal="85" workbookViewId="0">
      <pane ySplit="1" topLeftCell="A98" activePane="bottomLeft" state="frozen"/>
      <selection pane="bottomLeft" activeCell="D106" sqref="D106"/>
    </sheetView>
  </sheetViews>
  <sheetFormatPr defaultColWidth="12.5546875" defaultRowHeight="15.75" customHeight="1" x14ac:dyDescent="0.3"/>
  <cols>
    <col min="1" max="1" width="12.5546875" style="20"/>
    <col min="2" max="2" width="26.5546875" style="7" customWidth="1"/>
    <col min="3" max="3" width="4.88671875" style="7" customWidth="1"/>
    <col min="4" max="4" width="94.6640625" style="7" customWidth="1"/>
    <col min="5" max="5" width="14.44140625" style="20" customWidth="1"/>
    <col min="6" max="6" width="12.5546875" style="20"/>
    <col min="7" max="16384" width="12.5546875" style="7"/>
  </cols>
  <sheetData>
    <row r="1" spans="1:6" ht="15.6" x14ac:dyDescent="0.3">
      <c r="A1" s="27" t="s">
        <v>27</v>
      </c>
      <c r="B1" s="26" t="s">
        <v>0</v>
      </c>
      <c r="C1" s="33" t="s">
        <v>32</v>
      </c>
      <c r="D1" s="26" t="s">
        <v>1</v>
      </c>
      <c r="E1" s="26" t="s">
        <v>2</v>
      </c>
      <c r="F1" s="27" t="s">
        <v>8</v>
      </c>
    </row>
    <row r="2" spans="1:6" ht="15.6" x14ac:dyDescent="0.3">
      <c r="A2" s="41">
        <v>1</v>
      </c>
      <c r="B2" s="40" t="s">
        <v>19</v>
      </c>
      <c r="C2" s="30">
        <v>1</v>
      </c>
      <c r="D2" s="28" t="s">
        <v>146</v>
      </c>
      <c r="E2" s="11" t="s">
        <v>3</v>
      </c>
      <c r="F2" s="30" t="s">
        <v>5</v>
      </c>
    </row>
    <row r="3" spans="1:6" ht="15.6" x14ac:dyDescent="0.3">
      <c r="A3" s="42"/>
      <c r="B3" s="40"/>
      <c r="C3" s="30">
        <v>2</v>
      </c>
      <c r="D3" s="28" t="s">
        <v>147</v>
      </c>
      <c r="E3" s="11" t="s">
        <v>3</v>
      </c>
      <c r="F3" s="36" t="s">
        <v>7</v>
      </c>
    </row>
    <row r="4" spans="1:6" ht="15.6" x14ac:dyDescent="0.3">
      <c r="A4" s="42"/>
      <c r="B4" s="40"/>
      <c r="C4" s="30">
        <v>3</v>
      </c>
      <c r="D4" s="28" t="s">
        <v>148</v>
      </c>
      <c r="E4" s="11" t="s">
        <v>3</v>
      </c>
      <c r="F4" s="30" t="s">
        <v>5</v>
      </c>
    </row>
    <row r="5" spans="1:6" ht="15.6" customHeight="1" x14ac:dyDescent="0.3">
      <c r="A5" s="42"/>
      <c r="B5" s="40"/>
      <c r="C5" s="30">
        <v>4</v>
      </c>
      <c r="D5" s="22" t="s">
        <v>149</v>
      </c>
      <c r="E5" s="11" t="s">
        <v>3</v>
      </c>
      <c r="F5" s="11" t="s">
        <v>5</v>
      </c>
    </row>
    <row r="6" spans="1:6" ht="14.4" customHeight="1" x14ac:dyDescent="0.3">
      <c r="A6" s="42"/>
      <c r="B6" s="40"/>
      <c r="C6" s="30">
        <v>5</v>
      </c>
      <c r="D6" s="23" t="s">
        <v>150</v>
      </c>
      <c r="E6" s="30" t="s">
        <v>3</v>
      </c>
      <c r="F6" s="30" t="s">
        <v>5</v>
      </c>
    </row>
    <row r="7" spans="1:6" ht="16.8" customHeight="1" x14ac:dyDescent="0.3">
      <c r="A7" s="42"/>
      <c r="B7" s="40"/>
      <c r="C7" s="36">
        <v>6</v>
      </c>
      <c r="D7" s="22" t="s">
        <v>151</v>
      </c>
      <c r="E7" s="36" t="s">
        <v>3</v>
      </c>
      <c r="F7" s="36" t="s">
        <v>7</v>
      </c>
    </row>
    <row r="8" spans="1:6" ht="15.6" customHeight="1" x14ac:dyDescent="0.3">
      <c r="A8" s="42"/>
      <c r="B8" s="40"/>
      <c r="C8" s="36">
        <v>7</v>
      </c>
      <c r="D8" s="23" t="s">
        <v>152</v>
      </c>
      <c r="E8" s="36" t="s">
        <v>3</v>
      </c>
      <c r="F8" s="36" t="s">
        <v>7</v>
      </c>
    </row>
    <row r="9" spans="1:6" ht="15.6" customHeight="1" x14ac:dyDescent="0.3">
      <c r="A9" s="42"/>
      <c r="B9" s="40"/>
      <c r="C9" s="36">
        <v>8</v>
      </c>
      <c r="D9" s="23" t="s">
        <v>157</v>
      </c>
      <c r="E9" s="36" t="s">
        <v>3</v>
      </c>
      <c r="F9" s="36" t="s">
        <v>7</v>
      </c>
    </row>
    <row r="10" spans="1:6" ht="15.6" customHeight="1" x14ac:dyDescent="0.3">
      <c r="A10" s="42"/>
      <c r="B10" s="40"/>
      <c r="C10" s="36">
        <v>9</v>
      </c>
      <c r="D10" s="49" t="s">
        <v>158</v>
      </c>
      <c r="E10" s="36" t="s">
        <v>3</v>
      </c>
      <c r="F10" s="36" t="s">
        <v>7</v>
      </c>
    </row>
    <row r="11" spans="1:6" ht="15.6" x14ac:dyDescent="0.3">
      <c r="A11" s="42"/>
      <c r="B11" s="40"/>
      <c r="C11" s="30">
        <v>10</v>
      </c>
      <c r="D11" s="8" t="s">
        <v>28</v>
      </c>
      <c r="E11" s="30" t="s">
        <v>3</v>
      </c>
      <c r="F11" s="30" t="s">
        <v>7</v>
      </c>
    </row>
    <row r="12" spans="1:6" ht="15.6" x14ac:dyDescent="0.3">
      <c r="A12" s="43"/>
      <c r="B12" s="40"/>
      <c r="C12" s="30">
        <v>11</v>
      </c>
      <c r="D12" s="24" t="s">
        <v>29</v>
      </c>
      <c r="E12" s="11" t="s">
        <v>4</v>
      </c>
      <c r="F12" s="11" t="s">
        <v>7</v>
      </c>
    </row>
    <row r="13" spans="1:6" ht="15.6" x14ac:dyDescent="0.3">
      <c r="A13" s="21"/>
      <c r="B13" s="16"/>
      <c r="C13" s="16"/>
      <c r="D13" s="15"/>
      <c r="E13" s="16"/>
      <c r="F13" s="16"/>
    </row>
    <row r="14" spans="1:6" ht="15.6" x14ac:dyDescent="0.3">
      <c r="A14" s="41">
        <v>2</v>
      </c>
      <c r="B14" s="41" t="s">
        <v>15</v>
      </c>
      <c r="C14" s="30">
        <v>1</v>
      </c>
      <c r="D14" s="6" t="s">
        <v>25</v>
      </c>
      <c r="E14" s="11" t="s">
        <v>3</v>
      </c>
      <c r="F14" s="11" t="s">
        <v>5</v>
      </c>
    </row>
    <row r="15" spans="1:6" ht="15.6" x14ac:dyDescent="0.3">
      <c r="A15" s="42"/>
      <c r="B15" s="42"/>
      <c r="C15" s="30">
        <v>2</v>
      </c>
      <c r="D15" s="6" t="s">
        <v>24</v>
      </c>
      <c r="E15" s="11" t="s">
        <v>3</v>
      </c>
      <c r="F15" s="11" t="s">
        <v>5</v>
      </c>
    </row>
    <row r="16" spans="1:6" ht="15.6" x14ac:dyDescent="0.3">
      <c r="A16" s="42"/>
      <c r="B16" s="42"/>
      <c r="C16" s="30">
        <v>3</v>
      </c>
      <c r="D16" s="6" t="s">
        <v>23</v>
      </c>
      <c r="E16" s="11" t="s">
        <v>3</v>
      </c>
      <c r="F16" s="11" t="s">
        <v>5</v>
      </c>
    </row>
    <row r="17" spans="1:6" ht="15.6" x14ac:dyDescent="0.3">
      <c r="A17" s="42"/>
      <c r="B17" s="42"/>
      <c r="C17" s="30">
        <v>4</v>
      </c>
      <c r="D17" s="6" t="s">
        <v>26</v>
      </c>
      <c r="E17" s="30" t="s">
        <v>3</v>
      </c>
      <c r="F17" s="17" t="s">
        <v>5</v>
      </c>
    </row>
    <row r="18" spans="1:6" ht="15.6" x14ac:dyDescent="0.3">
      <c r="A18" s="42"/>
      <c r="B18" s="42"/>
      <c r="C18" s="30">
        <v>5</v>
      </c>
      <c r="D18" s="6" t="s">
        <v>6</v>
      </c>
      <c r="E18" s="11" t="s">
        <v>3</v>
      </c>
      <c r="F18" s="17" t="s">
        <v>5</v>
      </c>
    </row>
    <row r="19" spans="1:6" ht="15.6" x14ac:dyDescent="0.3">
      <c r="A19" s="42"/>
      <c r="B19" s="42"/>
      <c r="C19" s="30">
        <v>6</v>
      </c>
      <c r="D19" s="9" t="s">
        <v>31</v>
      </c>
      <c r="E19" s="25" t="s">
        <v>4</v>
      </c>
      <c r="F19" s="32" t="s">
        <v>5</v>
      </c>
    </row>
    <row r="20" spans="1:6" ht="15.6" x14ac:dyDescent="0.3">
      <c r="A20" s="43"/>
      <c r="B20" s="43"/>
      <c r="C20" s="30">
        <v>7</v>
      </c>
      <c r="D20" s="9" t="s">
        <v>30</v>
      </c>
      <c r="E20" s="30" t="s">
        <v>4</v>
      </c>
      <c r="F20" s="32" t="s">
        <v>5</v>
      </c>
    </row>
    <row r="21" spans="1:6" ht="15.6" x14ac:dyDescent="0.3">
      <c r="A21" s="19"/>
      <c r="B21" s="16"/>
      <c r="C21" s="16"/>
      <c r="D21" s="15"/>
      <c r="E21" s="16"/>
      <c r="F21" s="16"/>
    </row>
    <row r="22" spans="1:6" s="12" customFormat="1" ht="15.6" x14ac:dyDescent="0.3">
      <c r="A22" s="41">
        <v>3</v>
      </c>
      <c r="B22" s="41" t="s">
        <v>12</v>
      </c>
      <c r="C22" s="30">
        <v>1</v>
      </c>
      <c r="D22" s="6" t="s">
        <v>9</v>
      </c>
      <c r="E22" s="30" t="s">
        <v>4</v>
      </c>
      <c r="F22" s="30" t="s">
        <v>5</v>
      </c>
    </row>
    <row r="23" spans="1:6" s="12" customFormat="1" ht="15.6" x14ac:dyDescent="0.3">
      <c r="A23" s="42"/>
      <c r="B23" s="42"/>
      <c r="C23" s="30">
        <v>2</v>
      </c>
      <c r="D23" s="6" t="s">
        <v>10</v>
      </c>
      <c r="E23" s="30" t="s">
        <v>4</v>
      </c>
      <c r="F23" s="30" t="s">
        <v>5</v>
      </c>
    </row>
    <row r="24" spans="1:6" s="12" customFormat="1" ht="15.6" x14ac:dyDescent="0.3">
      <c r="A24" s="42"/>
      <c r="B24" s="42"/>
      <c r="C24" s="31">
        <v>3</v>
      </c>
      <c r="D24" s="6" t="s">
        <v>22</v>
      </c>
      <c r="E24" s="30" t="s">
        <v>3</v>
      </c>
      <c r="F24" s="30" t="s">
        <v>5</v>
      </c>
    </row>
    <row r="25" spans="1:6" s="12" customFormat="1" ht="15.6" x14ac:dyDescent="0.3">
      <c r="A25" s="42"/>
      <c r="B25" s="42"/>
      <c r="C25" s="31">
        <v>4</v>
      </c>
      <c r="D25" s="6" t="s">
        <v>24</v>
      </c>
      <c r="E25" s="30" t="s">
        <v>3</v>
      </c>
      <c r="F25" s="30" t="s">
        <v>5</v>
      </c>
    </row>
    <row r="26" spans="1:6" s="12" customFormat="1" ht="15.6" x14ac:dyDescent="0.3">
      <c r="A26" s="42"/>
      <c r="B26" s="42"/>
      <c r="C26" s="31">
        <v>5</v>
      </c>
      <c r="D26" s="6" t="s">
        <v>23</v>
      </c>
      <c r="E26" s="30" t="s">
        <v>3</v>
      </c>
      <c r="F26" s="30" t="s">
        <v>5</v>
      </c>
    </row>
    <row r="27" spans="1:6" s="12" customFormat="1" ht="15.6" x14ac:dyDescent="0.3">
      <c r="A27" s="42"/>
      <c r="B27" s="42"/>
      <c r="C27" s="31">
        <v>6</v>
      </c>
      <c r="D27" s="6" t="s">
        <v>6</v>
      </c>
      <c r="E27" s="30" t="s">
        <v>3</v>
      </c>
      <c r="F27" s="32" t="s">
        <v>5</v>
      </c>
    </row>
    <row r="28" spans="1:6" s="12" customFormat="1" ht="15.6" x14ac:dyDescent="0.3">
      <c r="A28" s="19"/>
      <c r="B28" s="16"/>
      <c r="C28" s="16"/>
      <c r="D28" s="15"/>
      <c r="E28" s="16"/>
      <c r="F28" s="16"/>
    </row>
    <row r="29" spans="1:6" ht="15.6" x14ac:dyDescent="0.3">
      <c r="A29" s="41">
        <v>4</v>
      </c>
      <c r="B29" s="40" t="s">
        <v>16</v>
      </c>
      <c r="C29" s="30">
        <v>1</v>
      </c>
      <c r="D29" s="9" t="s">
        <v>11</v>
      </c>
      <c r="E29" s="11" t="s">
        <v>3</v>
      </c>
      <c r="F29" s="17" t="s">
        <v>5</v>
      </c>
    </row>
    <row r="30" spans="1:6" ht="15.6" x14ac:dyDescent="0.3">
      <c r="A30" s="42"/>
      <c r="B30" s="40"/>
      <c r="C30" s="30">
        <v>2</v>
      </c>
      <c r="D30" s="6" t="s">
        <v>20</v>
      </c>
      <c r="E30" s="11" t="s">
        <v>3</v>
      </c>
      <c r="F30" s="32" t="s">
        <v>5</v>
      </c>
    </row>
    <row r="31" spans="1:6" ht="15.6" x14ac:dyDescent="0.3">
      <c r="A31" s="43"/>
      <c r="B31" s="40"/>
      <c r="C31" s="30">
        <v>3</v>
      </c>
      <c r="D31" s="6" t="s">
        <v>21</v>
      </c>
      <c r="E31" s="11" t="s">
        <v>3</v>
      </c>
      <c r="F31" s="32" t="s">
        <v>5</v>
      </c>
    </row>
    <row r="32" spans="1:6" s="12" customFormat="1" ht="15.6" x14ac:dyDescent="0.3">
      <c r="A32" s="16"/>
      <c r="B32" s="16"/>
      <c r="C32" s="16"/>
      <c r="D32" s="14"/>
      <c r="E32" s="16"/>
      <c r="F32" s="16"/>
    </row>
    <row r="33" spans="1:6" ht="15.6" x14ac:dyDescent="0.3">
      <c r="A33" s="41">
        <v>5</v>
      </c>
      <c r="B33" s="38" t="s">
        <v>163</v>
      </c>
      <c r="C33" s="31">
        <v>1</v>
      </c>
      <c r="D33" s="6" t="s">
        <v>22</v>
      </c>
      <c r="E33" s="11" t="s">
        <v>3</v>
      </c>
      <c r="F33" s="11" t="s">
        <v>5</v>
      </c>
    </row>
    <row r="34" spans="1:6" ht="15.6" x14ac:dyDescent="0.3">
      <c r="A34" s="42"/>
      <c r="B34" s="38"/>
      <c r="C34" s="31">
        <v>2</v>
      </c>
      <c r="D34" s="6" t="s">
        <v>23</v>
      </c>
      <c r="E34" s="11" t="s">
        <v>4</v>
      </c>
      <c r="F34" s="11" t="s">
        <v>7</v>
      </c>
    </row>
    <row r="35" spans="1:6" ht="15.6" x14ac:dyDescent="0.3">
      <c r="A35" s="42"/>
      <c r="B35" s="38"/>
      <c r="C35" s="31">
        <v>3</v>
      </c>
      <c r="D35" s="6" t="s">
        <v>26</v>
      </c>
      <c r="E35" s="30" t="s">
        <v>4</v>
      </c>
      <c r="F35" s="17" t="s">
        <v>5</v>
      </c>
    </row>
    <row r="36" spans="1:6" ht="15.6" x14ac:dyDescent="0.3">
      <c r="A36" s="42"/>
      <c r="B36" s="38"/>
      <c r="C36" s="31">
        <v>4</v>
      </c>
      <c r="D36" s="6" t="s">
        <v>14</v>
      </c>
      <c r="E36" s="30" t="s">
        <v>3</v>
      </c>
      <c r="F36" s="32" t="s">
        <v>5</v>
      </c>
    </row>
    <row r="37" spans="1:6" ht="15.6" x14ac:dyDescent="0.3">
      <c r="A37" s="42"/>
      <c r="B37" s="38"/>
      <c r="C37" s="31">
        <v>5</v>
      </c>
      <c r="D37" s="6" t="s">
        <v>33</v>
      </c>
      <c r="E37" s="30" t="s">
        <v>3</v>
      </c>
      <c r="F37" s="32" t="s">
        <v>5</v>
      </c>
    </row>
    <row r="38" spans="1:6" ht="15.6" x14ac:dyDescent="0.3">
      <c r="A38" s="42"/>
      <c r="B38" s="38"/>
      <c r="C38" s="31">
        <v>6</v>
      </c>
      <c r="D38" s="6" t="s">
        <v>6</v>
      </c>
      <c r="E38" s="11" t="s">
        <v>3</v>
      </c>
      <c r="F38" s="17" t="s">
        <v>5</v>
      </c>
    </row>
    <row r="39" spans="1:6" ht="15.6" x14ac:dyDescent="0.3">
      <c r="A39" s="42"/>
      <c r="B39" s="38"/>
      <c r="C39" s="31">
        <v>7</v>
      </c>
      <c r="D39" s="10" t="s">
        <v>34</v>
      </c>
      <c r="E39" s="11" t="s">
        <v>3</v>
      </c>
      <c r="F39" s="17" t="s">
        <v>5</v>
      </c>
    </row>
    <row r="40" spans="1:6" ht="15.6" x14ac:dyDescent="0.3">
      <c r="A40" s="42"/>
      <c r="B40" s="38"/>
      <c r="C40" s="31">
        <v>8</v>
      </c>
      <c r="D40" s="10" t="s">
        <v>35</v>
      </c>
      <c r="E40" s="11" t="s">
        <v>3</v>
      </c>
      <c r="F40" s="17" t="s">
        <v>5</v>
      </c>
    </row>
    <row r="41" spans="1:6" ht="15.6" x14ac:dyDescent="0.3">
      <c r="A41" s="42"/>
      <c r="B41" s="38"/>
      <c r="C41" s="31">
        <v>9</v>
      </c>
      <c r="D41" s="9" t="s">
        <v>31</v>
      </c>
      <c r="E41" s="30" t="s">
        <v>3</v>
      </c>
      <c r="F41" s="32" t="s">
        <v>5</v>
      </c>
    </row>
    <row r="42" spans="1:6" ht="15.6" x14ac:dyDescent="0.3">
      <c r="A42" s="43"/>
      <c r="B42" s="38"/>
      <c r="C42" s="31">
        <v>10</v>
      </c>
      <c r="D42" s="9" t="s">
        <v>30</v>
      </c>
      <c r="E42" s="11" t="s">
        <v>3</v>
      </c>
      <c r="F42" s="11" t="s">
        <v>5</v>
      </c>
    </row>
    <row r="43" spans="1:6" s="12" customFormat="1" ht="15.6" x14ac:dyDescent="0.3">
      <c r="A43" s="16"/>
      <c r="B43" s="16"/>
      <c r="C43" s="16"/>
      <c r="D43" s="15"/>
      <c r="E43" s="16"/>
      <c r="F43" s="16"/>
    </row>
    <row r="44" spans="1:6" ht="15.6" x14ac:dyDescent="0.3">
      <c r="A44" s="41">
        <v>6</v>
      </c>
      <c r="B44" s="39" t="s">
        <v>17</v>
      </c>
      <c r="C44" s="32">
        <v>1</v>
      </c>
      <c r="D44" s="6" t="s">
        <v>36</v>
      </c>
      <c r="E44" s="11" t="s">
        <v>3</v>
      </c>
      <c r="F44" s="11" t="s">
        <v>5</v>
      </c>
    </row>
    <row r="45" spans="1:6" ht="15.6" x14ac:dyDescent="0.3">
      <c r="A45" s="42"/>
      <c r="B45" s="39"/>
      <c r="C45" s="32">
        <v>2</v>
      </c>
      <c r="D45" s="6" t="s">
        <v>37</v>
      </c>
      <c r="E45" s="30" t="s">
        <v>3</v>
      </c>
      <c r="F45" s="30" t="s">
        <v>5</v>
      </c>
    </row>
    <row r="46" spans="1:6" ht="15.6" x14ac:dyDescent="0.3">
      <c r="A46" s="42"/>
      <c r="B46" s="39"/>
      <c r="C46" s="32">
        <v>3</v>
      </c>
      <c r="D46" s="6" t="s">
        <v>38</v>
      </c>
      <c r="E46" s="30" t="s">
        <v>3</v>
      </c>
      <c r="F46" s="30" t="s">
        <v>5</v>
      </c>
    </row>
    <row r="47" spans="1:6" ht="15.6" x14ac:dyDescent="0.3">
      <c r="A47" s="42"/>
      <c r="B47" s="39"/>
      <c r="C47" s="32">
        <v>4</v>
      </c>
      <c r="D47" s="6" t="s">
        <v>39</v>
      </c>
      <c r="E47" s="30" t="s">
        <v>3</v>
      </c>
      <c r="F47" s="30" t="s">
        <v>5</v>
      </c>
    </row>
    <row r="48" spans="1:6" ht="15.6" x14ac:dyDescent="0.3">
      <c r="A48" s="42"/>
      <c r="B48" s="39"/>
      <c r="C48" s="32">
        <v>5</v>
      </c>
      <c r="D48" s="6" t="s">
        <v>40</v>
      </c>
      <c r="E48" s="30" t="s">
        <v>3</v>
      </c>
      <c r="F48" s="30" t="s">
        <v>5</v>
      </c>
    </row>
    <row r="49" spans="1:6" ht="15.6" x14ac:dyDescent="0.3">
      <c r="A49" s="42"/>
      <c r="B49" s="39"/>
      <c r="C49" s="32">
        <v>6</v>
      </c>
      <c r="D49" s="6" t="s">
        <v>41</v>
      </c>
      <c r="E49" s="30" t="s">
        <v>3</v>
      </c>
      <c r="F49" s="30" t="s">
        <v>5</v>
      </c>
    </row>
    <row r="50" spans="1:6" ht="15.6" x14ac:dyDescent="0.3">
      <c r="A50" s="42"/>
      <c r="B50" s="39"/>
      <c r="C50" s="32">
        <v>7</v>
      </c>
      <c r="D50" s="6" t="s">
        <v>42</v>
      </c>
      <c r="E50" s="30" t="s">
        <v>3</v>
      </c>
      <c r="F50" s="30" t="s">
        <v>5</v>
      </c>
    </row>
    <row r="51" spans="1:6" ht="15.6" x14ac:dyDescent="0.3">
      <c r="A51" s="42"/>
      <c r="B51" s="39"/>
      <c r="C51" s="32">
        <v>8</v>
      </c>
      <c r="D51" s="6" t="s">
        <v>43</v>
      </c>
      <c r="E51" s="30" t="s">
        <v>3</v>
      </c>
      <c r="F51" s="30" t="s">
        <v>5</v>
      </c>
    </row>
    <row r="52" spans="1:6" ht="15.6" x14ac:dyDescent="0.3">
      <c r="A52" s="42"/>
      <c r="B52" s="39"/>
      <c r="C52" s="32">
        <v>9</v>
      </c>
      <c r="D52" s="6" t="s">
        <v>44</v>
      </c>
      <c r="E52" s="30" t="s">
        <v>3</v>
      </c>
      <c r="F52" s="30" t="s">
        <v>5</v>
      </c>
    </row>
    <row r="53" spans="1:6" ht="31.2" x14ac:dyDescent="0.3">
      <c r="A53" s="42"/>
      <c r="B53" s="39"/>
      <c r="C53" s="32">
        <v>10</v>
      </c>
      <c r="D53" s="34" t="s">
        <v>164</v>
      </c>
      <c r="E53" s="30" t="s">
        <v>3</v>
      </c>
      <c r="F53" s="30" t="s">
        <v>5</v>
      </c>
    </row>
    <row r="54" spans="1:6" ht="31.2" x14ac:dyDescent="0.3">
      <c r="A54" s="42"/>
      <c r="B54" s="39"/>
      <c r="C54" s="32">
        <v>11</v>
      </c>
      <c r="D54" s="34" t="s">
        <v>165</v>
      </c>
      <c r="E54" s="30" t="s">
        <v>3</v>
      </c>
      <c r="F54" s="30" t="s">
        <v>5</v>
      </c>
    </row>
    <row r="55" spans="1:6" ht="15.6" x14ac:dyDescent="0.3">
      <c r="A55" s="42"/>
      <c r="B55" s="39"/>
      <c r="C55" s="32">
        <v>12</v>
      </c>
      <c r="D55" s="34" t="s">
        <v>45</v>
      </c>
      <c r="E55" s="30" t="s">
        <v>3</v>
      </c>
      <c r="F55" s="30" t="s">
        <v>5</v>
      </c>
    </row>
    <row r="56" spans="1:6" ht="15.6" x14ac:dyDescent="0.3">
      <c r="A56" s="42"/>
      <c r="B56" s="39"/>
      <c r="C56" s="32">
        <v>13</v>
      </c>
      <c r="D56" s="34" t="s">
        <v>46</v>
      </c>
      <c r="E56" s="30" t="s">
        <v>3</v>
      </c>
      <c r="F56" s="30" t="s">
        <v>5</v>
      </c>
    </row>
    <row r="57" spans="1:6" ht="16.8" customHeight="1" x14ac:dyDescent="0.3">
      <c r="A57" s="42"/>
      <c r="B57" s="39"/>
      <c r="C57" s="32">
        <v>14</v>
      </c>
      <c r="D57" s="6" t="s">
        <v>47</v>
      </c>
      <c r="E57" s="11" t="s">
        <v>3</v>
      </c>
      <c r="F57" s="11" t="s">
        <v>5</v>
      </c>
    </row>
    <row r="58" spans="1:6" ht="15.6" x14ac:dyDescent="0.3">
      <c r="A58" s="43"/>
      <c r="B58" s="39"/>
      <c r="C58" s="32">
        <v>15</v>
      </c>
      <c r="D58" s="6" t="s">
        <v>166</v>
      </c>
      <c r="E58" s="11" t="s">
        <v>3</v>
      </c>
      <c r="F58" s="11" t="s">
        <v>5</v>
      </c>
    </row>
    <row r="59" spans="1:6" s="12" customFormat="1" ht="15.6" x14ac:dyDescent="0.3">
      <c r="A59" s="16"/>
      <c r="B59" s="18"/>
      <c r="C59" s="18"/>
      <c r="D59" s="14"/>
      <c r="E59" s="16"/>
      <c r="F59" s="16"/>
    </row>
    <row r="60" spans="1:6" ht="15.6" x14ac:dyDescent="0.3">
      <c r="A60" s="41">
        <v>7</v>
      </c>
      <c r="B60" s="44" t="s">
        <v>13</v>
      </c>
      <c r="C60" s="29">
        <v>1</v>
      </c>
      <c r="D60" s="6" t="s">
        <v>22</v>
      </c>
      <c r="E60" s="30" t="s">
        <v>3</v>
      </c>
      <c r="F60" s="30" t="s">
        <v>5</v>
      </c>
    </row>
    <row r="61" spans="1:6" ht="15.6" x14ac:dyDescent="0.3">
      <c r="A61" s="42"/>
      <c r="B61" s="44"/>
      <c r="C61" s="29">
        <v>2</v>
      </c>
      <c r="D61" s="6" t="s">
        <v>24</v>
      </c>
      <c r="E61" s="30" t="s">
        <v>3</v>
      </c>
      <c r="F61" s="30" t="s">
        <v>5</v>
      </c>
    </row>
    <row r="62" spans="1:6" ht="15.6" x14ac:dyDescent="0.3">
      <c r="A62" s="42"/>
      <c r="B62" s="44"/>
      <c r="C62" s="29">
        <v>3</v>
      </c>
      <c r="D62" s="6" t="s">
        <v>23</v>
      </c>
      <c r="E62" s="30" t="s">
        <v>3</v>
      </c>
      <c r="F62" s="30" t="s">
        <v>5</v>
      </c>
    </row>
    <row r="63" spans="1:6" ht="15.6" x14ac:dyDescent="0.3">
      <c r="A63" s="42"/>
      <c r="B63" s="44"/>
      <c r="C63" s="29">
        <v>4</v>
      </c>
      <c r="D63" s="6" t="s">
        <v>26</v>
      </c>
      <c r="E63" s="30" t="s">
        <v>4</v>
      </c>
      <c r="F63" s="32" t="s">
        <v>5</v>
      </c>
    </row>
    <row r="64" spans="1:6" ht="15.6" x14ac:dyDescent="0.3">
      <c r="A64" s="42"/>
      <c r="B64" s="44"/>
      <c r="C64" s="29">
        <v>5</v>
      </c>
      <c r="D64" s="6" t="s">
        <v>14</v>
      </c>
      <c r="E64" s="30" t="s">
        <v>3</v>
      </c>
      <c r="F64" s="32" t="s">
        <v>5</v>
      </c>
    </row>
    <row r="65" spans="1:6" ht="15.6" x14ac:dyDescent="0.3">
      <c r="A65" s="42"/>
      <c r="B65" s="44"/>
      <c r="C65" s="29">
        <v>6</v>
      </c>
      <c r="D65" s="10" t="s">
        <v>48</v>
      </c>
      <c r="E65" s="30" t="s">
        <v>3</v>
      </c>
      <c r="F65" s="30" t="s">
        <v>5</v>
      </c>
    </row>
    <row r="66" spans="1:6" ht="15.6" x14ac:dyDescent="0.3">
      <c r="A66" s="42"/>
      <c r="B66" s="44"/>
      <c r="C66" s="29">
        <v>7</v>
      </c>
      <c r="D66" s="6" t="s">
        <v>6</v>
      </c>
      <c r="E66" s="30" t="s">
        <v>3</v>
      </c>
      <c r="F66" s="32" t="s">
        <v>5</v>
      </c>
    </row>
    <row r="67" spans="1:6" ht="15.6" x14ac:dyDescent="0.3">
      <c r="A67" s="42"/>
      <c r="B67" s="44"/>
      <c r="C67" s="29">
        <v>8</v>
      </c>
      <c r="D67" s="10" t="s">
        <v>34</v>
      </c>
      <c r="E67" s="30" t="s">
        <v>3</v>
      </c>
      <c r="F67" s="32" t="s">
        <v>5</v>
      </c>
    </row>
    <row r="68" spans="1:6" ht="15.6" x14ac:dyDescent="0.3">
      <c r="A68" s="42"/>
      <c r="B68" s="44"/>
      <c r="C68" s="29">
        <v>9</v>
      </c>
      <c r="D68" s="10" t="s">
        <v>35</v>
      </c>
      <c r="E68" s="30" t="s">
        <v>3</v>
      </c>
      <c r="F68" s="32" t="s">
        <v>5</v>
      </c>
    </row>
    <row r="69" spans="1:6" ht="15.6" x14ac:dyDescent="0.3">
      <c r="A69" s="42"/>
      <c r="B69" s="44"/>
      <c r="C69" s="29">
        <v>10</v>
      </c>
      <c r="D69" s="9" t="s">
        <v>31</v>
      </c>
      <c r="E69" s="30" t="s">
        <v>4</v>
      </c>
      <c r="F69" s="32" t="s">
        <v>5</v>
      </c>
    </row>
    <row r="70" spans="1:6" ht="15.6" x14ac:dyDescent="0.3">
      <c r="A70" s="42"/>
      <c r="B70" s="44"/>
      <c r="C70" s="29">
        <v>11</v>
      </c>
      <c r="D70" s="9" t="s">
        <v>30</v>
      </c>
      <c r="E70" s="30" t="s">
        <v>4</v>
      </c>
      <c r="F70" s="30" t="s">
        <v>5</v>
      </c>
    </row>
    <row r="71" spans="1:6" ht="15.6" x14ac:dyDescent="0.3">
      <c r="A71" s="42"/>
      <c r="B71" s="44"/>
      <c r="C71" s="29">
        <v>12</v>
      </c>
      <c r="D71" s="10" t="s">
        <v>49</v>
      </c>
      <c r="E71" s="30" t="s">
        <v>3</v>
      </c>
      <c r="F71" s="30" t="s">
        <v>5</v>
      </c>
    </row>
    <row r="72" spans="1:6" ht="15.6" x14ac:dyDescent="0.3">
      <c r="A72" s="42"/>
      <c r="B72" s="44"/>
      <c r="C72" s="29">
        <v>13</v>
      </c>
      <c r="D72" s="10" t="s">
        <v>50</v>
      </c>
      <c r="E72" s="11" t="s">
        <v>3</v>
      </c>
      <c r="F72" s="11" t="s">
        <v>5</v>
      </c>
    </row>
    <row r="73" spans="1:6" ht="15.6" x14ac:dyDescent="0.3">
      <c r="A73" s="42"/>
      <c r="B73" s="44"/>
      <c r="C73" s="29">
        <v>14</v>
      </c>
      <c r="D73" s="10" t="s">
        <v>53</v>
      </c>
      <c r="E73" s="30" t="s">
        <v>3</v>
      </c>
      <c r="F73" s="30" t="s">
        <v>5</v>
      </c>
    </row>
    <row r="74" spans="1:6" s="12" customFormat="1" ht="15.6" x14ac:dyDescent="0.3">
      <c r="A74" s="16"/>
      <c r="B74" s="16"/>
      <c r="C74" s="16"/>
      <c r="D74" s="15"/>
      <c r="E74" s="16"/>
      <c r="F74" s="16"/>
    </row>
    <row r="75" spans="1:6" ht="15.75" customHeight="1" x14ac:dyDescent="0.3">
      <c r="A75" s="41">
        <v>8</v>
      </c>
      <c r="B75" s="44" t="s">
        <v>167</v>
      </c>
      <c r="C75" s="29">
        <v>1</v>
      </c>
      <c r="D75" s="6" t="s">
        <v>36</v>
      </c>
      <c r="E75" s="30" t="s">
        <v>3</v>
      </c>
      <c r="F75" s="30" t="s">
        <v>5</v>
      </c>
    </row>
    <row r="76" spans="1:6" ht="15.75" customHeight="1" x14ac:dyDescent="0.3">
      <c r="A76" s="42"/>
      <c r="B76" s="44"/>
      <c r="C76" s="29">
        <v>2</v>
      </c>
      <c r="D76" s="6" t="s">
        <v>37</v>
      </c>
      <c r="E76" s="30" t="s">
        <v>3</v>
      </c>
      <c r="F76" s="30" t="s">
        <v>5</v>
      </c>
    </row>
    <row r="77" spans="1:6" ht="15.75" customHeight="1" x14ac:dyDescent="0.3">
      <c r="A77" s="42"/>
      <c r="B77" s="44"/>
      <c r="C77" s="29">
        <v>3</v>
      </c>
      <c r="D77" s="6" t="s">
        <v>38</v>
      </c>
      <c r="E77" s="30" t="s">
        <v>3</v>
      </c>
      <c r="F77" s="30" t="s">
        <v>5</v>
      </c>
    </row>
    <row r="78" spans="1:6" ht="15.75" customHeight="1" x14ac:dyDescent="0.3">
      <c r="A78" s="42"/>
      <c r="B78" s="44"/>
      <c r="C78" s="29">
        <v>4</v>
      </c>
      <c r="D78" s="6" t="s">
        <v>39</v>
      </c>
      <c r="E78" s="30" t="s">
        <v>3</v>
      </c>
      <c r="F78" s="30" t="s">
        <v>5</v>
      </c>
    </row>
    <row r="79" spans="1:6" ht="15.75" customHeight="1" x14ac:dyDescent="0.3">
      <c r="A79" s="42"/>
      <c r="B79" s="44"/>
      <c r="C79" s="29">
        <v>5</v>
      </c>
      <c r="D79" s="6" t="s">
        <v>40</v>
      </c>
      <c r="E79" s="30" t="s">
        <v>3</v>
      </c>
      <c r="F79" s="30" t="s">
        <v>5</v>
      </c>
    </row>
    <row r="80" spans="1:6" ht="15.75" customHeight="1" x14ac:dyDescent="0.3">
      <c r="A80" s="42"/>
      <c r="B80" s="44"/>
      <c r="C80" s="29">
        <v>6</v>
      </c>
      <c r="D80" s="6" t="s">
        <v>41</v>
      </c>
      <c r="E80" s="30" t="s">
        <v>3</v>
      </c>
      <c r="F80" s="30" t="s">
        <v>5</v>
      </c>
    </row>
    <row r="81" spans="1:6" ht="15.75" customHeight="1" x14ac:dyDescent="0.3">
      <c r="A81" s="42"/>
      <c r="B81" s="44"/>
      <c r="C81" s="29">
        <v>7</v>
      </c>
      <c r="D81" s="6" t="s">
        <v>42</v>
      </c>
      <c r="E81" s="30" t="s">
        <v>3</v>
      </c>
      <c r="F81" s="30" t="s">
        <v>5</v>
      </c>
    </row>
    <row r="82" spans="1:6" ht="15.75" customHeight="1" x14ac:dyDescent="0.3">
      <c r="A82" s="42"/>
      <c r="B82" s="44"/>
      <c r="C82" s="29">
        <v>8</v>
      </c>
      <c r="D82" s="6" t="s">
        <v>43</v>
      </c>
      <c r="E82" s="30" t="s">
        <v>3</v>
      </c>
      <c r="F82" s="30" t="s">
        <v>5</v>
      </c>
    </row>
    <row r="83" spans="1:6" ht="15.75" customHeight="1" x14ac:dyDescent="0.3">
      <c r="A83" s="42"/>
      <c r="B83" s="44"/>
      <c r="C83" s="29">
        <v>9</v>
      </c>
      <c r="D83" s="6" t="s">
        <v>44</v>
      </c>
      <c r="E83" s="30" t="s">
        <v>3</v>
      </c>
      <c r="F83" s="30" t="s">
        <v>5</v>
      </c>
    </row>
    <row r="84" spans="1:6" ht="29.4" customHeight="1" x14ac:dyDescent="0.3">
      <c r="A84" s="42"/>
      <c r="B84" s="44"/>
      <c r="C84" s="29">
        <v>10</v>
      </c>
      <c r="D84" s="34" t="s">
        <v>164</v>
      </c>
      <c r="E84" s="30" t="s">
        <v>3</v>
      </c>
      <c r="F84" s="30" t="s">
        <v>5</v>
      </c>
    </row>
    <row r="85" spans="1:6" ht="31.2" customHeight="1" x14ac:dyDescent="0.3">
      <c r="A85" s="42"/>
      <c r="B85" s="44"/>
      <c r="C85" s="29">
        <v>11</v>
      </c>
      <c r="D85" s="34" t="s">
        <v>165</v>
      </c>
      <c r="E85" s="30" t="s">
        <v>3</v>
      </c>
      <c r="F85" s="30" t="s">
        <v>5</v>
      </c>
    </row>
    <row r="86" spans="1:6" ht="15.75" customHeight="1" x14ac:dyDescent="0.3">
      <c r="A86" s="42"/>
      <c r="B86" s="44"/>
      <c r="C86" s="29">
        <v>12</v>
      </c>
      <c r="D86" s="34" t="s">
        <v>45</v>
      </c>
      <c r="E86" s="30" t="s">
        <v>3</v>
      </c>
      <c r="F86" s="30" t="s">
        <v>5</v>
      </c>
    </row>
    <row r="87" spans="1:6" ht="15.75" customHeight="1" x14ac:dyDescent="0.3">
      <c r="A87" s="42"/>
      <c r="B87" s="44"/>
      <c r="C87" s="29">
        <v>13</v>
      </c>
      <c r="D87" s="34" t="s">
        <v>46</v>
      </c>
      <c r="E87" s="30" t="s">
        <v>3</v>
      </c>
      <c r="F87" s="30" t="s">
        <v>5</v>
      </c>
    </row>
    <row r="88" spans="1:6" ht="15.75" customHeight="1" x14ac:dyDescent="0.3">
      <c r="A88" s="42"/>
      <c r="B88" s="44"/>
      <c r="C88" s="29">
        <v>14</v>
      </c>
      <c r="D88" s="6" t="s">
        <v>47</v>
      </c>
      <c r="E88" s="30" t="s">
        <v>3</v>
      </c>
      <c r="F88" s="30" t="s">
        <v>5</v>
      </c>
    </row>
    <row r="89" spans="1:6" ht="15.75" customHeight="1" x14ac:dyDescent="0.3">
      <c r="A89" s="42"/>
      <c r="B89" s="44"/>
      <c r="C89" s="29">
        <v>15</v>
      </c>
      <c r="D89" s="6" t="s">
        <v>60</v>
      </c>
      <c r="E89" s="30" t="s">
        <v>3</v>
      </c>
      <c r="F89" s="30" t="s">
        <v>5</v>
      </c>
    </row>
    <row r="90" spans="1:6" ht="15.75" customHeight="1" x14ac:dyDescent="0.3">
      <c r="A90" s="42"/>
      <c r="B90" s="44"/>
      <c r="C90" s="29">
        <v>16</v>
      </c>
      <c r="D90" s="10" t="s">
        <v>51</v>
      </c>
      <c r="E90" s="30" t="s">
        <v>3</v>
      </c>
      <c r="F90" s="30" t="s">
        <v>5</v>
      </c>
    </row>
    <row r="91" spans="1:6" ht="15.75" customHeight="1" x14ac:dyDescent="0.3">
      <c r="A91" s="42"/>
      <c r="B91" s="44"/>
      <c r="C91" s="29">
        <v>17</v>
      </c>
      <c r="D91" s="10" t="s">
        <v>52</v>
      </c>
      <c r="E91" s="11" t="s">
        <v>3</v>
      </c>
      <c r="F91" s="11" t="s">
        <v>5</v>
      </c>
    </row>
    <row r="92" spans="1:6" s="12" customFormat="1" ht="15.75" customHeight="1" x14ac:dyDescent="0.3">
      <c r="A92" s="16"/>
      <c r="B92" s="13"/>
      <c r="C92" s="13"/>
      <c r="D92" s="14"/>
      <c r="E92" s="16"/>
      <c r="F92" s="16"/>
    </row>
    <row r="93" spans="1:6" ht="15.75" customHeight="1" x14ac:dyDescent="0.3">
      <c r="A93" s="41">
        <v>9</v>
      </c>
      <c r="B93" s="44" t="s">
        <v>168</v>
      </c>
      <c r="C93" s="29">
        <v>1</v>
      </c>
      <c r="D93" s="6" t="s">
        <v>61</v>
      </c>
      <c r="E93" s="11" t="s">
        <v>3</v>
      </c>
      <c r="F93" s="11" t="s">
        <v>5</v>
      </c>
    </row>
    <row r="94" spans="1:6" ht="15.75" customHeight="1" x14ac:dyDescent="0.3">
      <c r="A94" s="42"/>
      <c r="B94" s="44"/>
      <c r="C94" s="29">
        <v>2</v>
      </c>
      <c r="D94" s="6" t="s">
        <v>62</v>
      </c>
      <c r="E94" s="30" t="s">
        <v>4</v>
      </c>
      <c r="F94" s="30" t="s">
        <v>5</v>
      </c>
    </row>
    <row r="95" spans="1:6" ht="15.75" customHeight="1" x14ac:dyDescent="0.3">
      <c r="A95" s="42"/>
      <c r="B95" s="44"/>
      <c r="C95" s="29">
        <v>3</v>
      </c>
      <c r="D95" s="6" t="s">
        <v>54</v>
      </c>
      <c r="E95" s="30" t="s">
        <v>4</v>
      </c>
      <c r="F95" s="30" t="s">
        <v>5</v>
      </c>
    </row>
    <row r="96" spans="1:6" ht="15.75" customHeight="1" x14ac:dyDescent="0.3">
      <c r="A96" s="42"/>
      <c r="B96" s="44"/>
      <c r="C96" s="29">
        <v>4</v>
      </c>
      <c r="D96" s="6" t="s">
        <v>55</v>
      </c>
      <c r="E96" s="11" t="s">
        <v>4</v>
      </c>
      <c r="F96" s="11" t="s">
        <v>5</v>
      </c>
    </row>
    <row r="97" spans="1:6" ht="15.75" customHeight="1" x14ac:dyDescent="0.3">
      <c r="A97" s="42"/>
      <c r="B97" s="44"/>
      <c r="C97" s="29">
        <v>5</v>
      </c>
      <c r="D97" s="6" t="s">
        <v>56</v>
      </c>
      <c r="E97" s="11" t="s">
        <v>4</v>
      </c>
      <c r="F97" s="11" t="s">
        <v>5</v>
      </c>
    </row>
    <row r="98" spans="1:6" ht="15.75" customHeight="1" x14ac:dyDescent="0.3">
      <c r="A98" s="42"/>
      <c r="B98" s="44"/>
      <c r="C98" s="29">
        <v>6</v>
      </c>
      <c r="D98" s="6" t="s">
        <v>57</v>
      </c>
      <c r="E98" s="11" t="s">
        <v>4</v>
      </c>
      <c r="F98" s="11" t="s">
        <v>5</v>
      </c>
    </row>
    <row r="99" spans="1:6" ht="15.75" customHeight="1" x14ac:dyDescent="0.3">
      <c r="A99" s="42"/>
      <c r="B99" s="44"/>
      <c r="C99" s="29">
        <v>7</v>
      </c>
      <c r="D99" s="6" t="s">
        <v>169</v>
      </c>
      <c r="E99" s="30" t="s">
        <v>4</v>
      </c>
      <c r="F99" s="30" t="s">
        <v>5</v>
      </c>
    </row>
    <row r="100" spans="1:6" ht="15.75" customHeight="1" x14ac:dyDescent="0.3">
      <c r="A100" s="42"/>
      <c r="B100" s="44"/>
      <c r="C100" s="35">
        <v>8</v>
      </c>
      <c r="D100" s="6" t="s">
        <v>58</v>
      </c>
      <c r="E100" s="30" t="s">
        <v>3</v>
      </c>
      <c r="F100" s="30" t="s">
        <v>5</v>
      </c>
    </row>
    <row r="101" spans="1:6" ht="15.75" customHeight="1" x14ac:dyDescent="0.3">
      <c r="A101" s="42"/>
      <c r="B101" s="44"/>
      <c r="C101" s="35">
        <v>9</v>
      </c>
      <c r="D101" s="6" t="s">
        <v>153</v>
      </c>
      <c r="E101" s="36" t="s">
        <v>4</v>
      </c>
      <c r="F101" s="36" t="s">
        <v>7</v>
      </c>
    </row>
    <row r="102" spans="1:6" ht="15.75" customHeight="1" x14ac:dyDescent="0.3">
      <c r="A102" s="42"/>
      <c r="B102" s="44"/>
      <c r="C102" s="35">
        <v>10</v>
      </c>
      <c r="D102" s="6" t="s">
        <v>154</v>
      </c>
      <c r="E102" s="36" t="s">
        <v>4</v>
      </c>
      <c r="F102" s="36" t="s">
        <v>7</v>
      </c>
    </row>
    <row r="103" spans="1:6" s="12" customFormat="1" ht="15.75" customHeight="1" x14ac:dyDescent="0.3">
      <c r="A103" s="16"/>
      <c r="B103" s="13"/>
      <c r="C103" s="13"/>
      <c r="D103" s="15"/>
      <c r="E103" s="16"/>
      <c r="F103" s="16"/>
    </row>
    <row r="104" spans="1:6" ht="15.75" customHeight="1" x14ac:dyDescent="0.3">
      <c r="A104" s="40">
        <v>10</v>
      </c>
      <c r="B104" s="44" t="s">
        <v>18</v>
      </c>
      <c r="C104" s="29">
        <v>1</v>
      </c>
      <c r="D104" s="6" t="s">
        <v>170</v>
      </c>
      <c r="E104" s="11" t="s">
        <v>4</v>
      </c>
      <c r="F104" s="11" t="s">
        <v>5</v>
      </c>
    </row>
    <row r="105" spans="1:6" ht="15.75" customHeight="1" x14ac:dyDescent="0.3">
      <c r="A105" s="40"/>
      <c r="B105" s="44"/>
      <c r="C105" s="29">
        <v>2</v>
      </c>
      <c r="D105" s="9" t="s">
        <v>59</v>
      </c>
      <c r="E105" s="11" t="s">
        <v>4</v>
      </c>
      <c r="F105" s="11" t="s">
        <v>5</v>
      </c>
    </row>
    <row r="106" spans="1:6" ht="15.75" customHeight="1" x14ac:dyDescent="0.3">
      <c r="A106" s="40"/>
      <c r="B106" s="44"/>
      <c r="C106" s="29">
        <v>3</v>
      </c>
      <c r="D106" s="10" t="s">
        <v>171</v>
      </c>
      <c r="E106" s="11" t="s">
        <v>4</v>
      </c>
      <c r="F106" s="11" t="s">
        <v>5</v>
      </c>
    </row>
    <row r="107" spans="1:6" s="12" customFormat="1" ht="15.75" customHeight="1" x14ac:dyDescent="0.3">
      <c r="A107" s="16"/>
      <c r="B107" s="13"/>
      <c r="C107" s="13"/>
      <c r="D107" s="15"/>
      <c r="E107" s="16"/>
      <c r="F107" s="16"/>
    </row>
    <row r="108" spans="1:6" ht="15.75" customHeight="1" x14ac:dyDescent="0.3">
      <c r="A108" s="36">
        <v>11</v>
      </c>
      <c r="B108" s="35" t="s">
        <v>160</v>
      </c>
      <c r="C108" s="35">
        <v>1</v>
      </c>
      <c r="D108" s="10" t="s">
        <v>161</v>
      </c>
      <c r="E108" s="36" t="s">
        <v>3</v>
      </c>
      <c r="F108" s="36" t="s">
        <v>7</v>
      </c>
    </row>
    <row r="109" spans="1:6" s="12" customFormat="1" ht="15.75" customHeight="1" x14ac:dyDescent="0.3">
      <c r="A109" s="16"/>
      <c r="B109" s="13"/>
      <c r="C109" s="13"/>
      <c r="D109" s="15"/>
      <c r="E109" s="16"/>
      <c r="F109" s="16"/>
    </row>
    <row r="110" spans="1:6" ht="15.75" customHeight="1" x14ac:dyDescent="0.3">
      <c r="A110" s="36">
        <v>12</v>
      </c>
      <c r="B110" s="35" t="s">
        <v>155</v>
      </c>
      <c r="C110" s="35">
        <v>1</v>
      </c>
      <c r="D110" s="48" t="s">
        <v>156</v>
      </c>
      <c r="E110" s="36" t="s">
        <v>4</v>
      </c>
      <c r="F110" s="36" t="s">
        <v>7</v>
      </c>
    </row>
    <row r="111" spans="1:6" s="12" customFormat="1" ht="15.75" customHeight="1" x14ac:dyDescent="0.3">
      <c r="A111" s="16"/>
      <c r="B111" s="13"/>
      <c r="C111" s="13"/>
      <c r="D111" s="15"/>
      <c r="E111" s="16"/>
      <c r="F111" s="16"/>
    </row>
    <row r="112" spans="1:6" ht="36" customHeight="1" x14ac:dyDescent="0.3">
      <c r="A112" s="36">
        <v>13</v>
      </c>
      <c r="B112" s="35" t="s">
        <v>159</v>
      </c>
      <c r="C112" s="35">
        <v>1</v>
      </c>
      <c r="D112" s="50" t="s">
        <v>162</v>
      </c>
      <c r="E112" s="36" t="s">
        <v>4</v>
      </c>
      <c r="F112" s="36" t="s">
        <v>7</v>
      </c>
    </row>
  </sheetData>
  <mergeCells count="20">
    <mergeCell ref="B104:B106"/>
    <mergeCell ref="B93:B102"/>
    <mergeCell ref="A75:A91"/>
    <mergeCell ref="A60:A73"/>
    <mergeCell ref="A44:A58"/>
    <mergeCell ref="A104:A106"/>
    <mergeCell ref="B60:B73"/>
    <mergeCell ref="B75:B91"/>
    <mergeCell ref="B33:B42"/>
    <mergeCell ref="B44:B58"/>
    <mergeCell ref="B29:B31"/>
    <mergeCell ref="A2:A12"/>
    <mergeCell ref="A93:A102"/>
    <mergeCell ref="A33:A42"/>
    <mergeCell ref="A29:A31"/>
    <mergeCell ref="B14:B20"/>
    <mergeCell ref="A14:A20"/>
    <mergeCell ref="A22:A27"/>
    <mergeCell ref="B22:B27"/>
    <mergeCell ref="B2:B12"/>
  </mergeCells>
  <dataValidations count="1">
    <dataValidation type="list" allowBlank="1" sqref="E2:F20 E23:F27 E22 E29:F112">
      <formula1>"High,Medium,Low"</formula1>
      <formula2>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1"/>
  <sheetViews>
    <sheetView workbookViewId="0"/>
  </sheetViews>
  <sheetFormatPr defaultColWidth="12.5546875" defaultRowHeight="15.75" customHeight="1" x14ac:dyDescent="0.25"/>
  <cols>
    <col min="1" max="1" width="23.44140625" customWidth="1"/>
    <col min="2" max="2" width="29.6640625" customWidth="1"/>
    <col min="3" max="3" width="14.44140625" customWidth="1"/>
  </cols>
  <sheetData>
    <row r="1" spans="1:3" ht="15.75" customHeight="1" x14ac:dyDescent="0.25">
      <c r="A1" s="1" t="s">
        <v>0</v>
      </c>
      <c r="B1" s="2" t="s">
        <v>1</v>
      </c>
      <c r="C1" s="3" t="s">
        <v>2</v>
      </c>
    </row>
    <row r="2" spans="1:3" ht="15.75" customHeight="1" x14ac:dyDescent="0.25">
      <c r="A2" s="45"/>
      <c r="B2" s="4"/>
      <c r="C2" s="5"/>
    </row>
    <row r="3" spans="1:3" ht="15.75" customHeight="1" x14ac:dyDescent="0.25">
      <c r="A3" s="46"/>
      <c r="B3" s="4"/>
      <c r="C3" s="4"/>
    </row>
    <row r="4" spans="1:3" ht="15.75" customHeight="1" x14ac:dyDescent="0.25">
      <c r="A4" s="46"/>
      <c r="B4" s="4"/>
      <c r="C4" s="4"/>
    </row>
    <row r="5" spans="1:3" ht="15.75" customHeight="1" x14ac:dyDescent="0.25">
      <c r="A5" s="47"/>
      <c r="B5" s="4"/>
      <c r="C5" s="4"/>
    </row>
    <row r="6" spans="1:3" ht="15.75" customHeight="1" x14ac:dyDescent="0.25">
      <c r="A6" s="45"/>
      <c r="B6" s="4"/>
      <c r="C6" s="4"/>
    </row>
    <row r="7" spans="1:3" ht="15.75" customHeight="1" x14ac:dyDescent="0.25">
      <c r="A7" s="46"/>
      <c r="B7" s="4"/>
      <c r="C7" s="4"/>
    </row>
    <row r="8" spans="1:3" ht="15.75" customHeight="1" x14ac:dyDescent="0.25">
      <c r="A8" s="46"/>
      <c r="B8" s="4"/>
      <c r="C8" s="4"/>
    </row>
    <row r="9" spans="1:3" ht="15.75" customHeight="1" x14ac:dyDescent="0.25">
      <c r="A9" s="46"/>
      <c r="B9" s="4"/>
      <c r="C9" s="4"/>
    </row>
    <row r="10" spans="1:3" ht="15.75" customHeight="1" x14ac:dyDescent="0.25">
      <c r="A10" s="47"/>
      <c r="B10" s="4"/>
      <c r="C10" s="4"/>
    </row>
    <row r="11" spans="1:3" ht="15.75" customHeight="1" x14ac:dyDescent="0.25">
      <c r="A11" s="45"/>
      <c r="B11" s="4"/>
      <c r="C11" s="4"/>
    </row>
    <row r="12" spans="1:3" ht="15.75" customHeight="1" x14ac:dyDescent="0.25">
      <c r="A12" s="46"/>
      <c r="B12" s="4"/>
      <c r="C12" s="4"/>
    </row>
    <row r="13" spans="1:3" ht="15.75" customHeight="1" x14ac:dyDescent="0.25">
      <c r="A13" s="46"/>
      <c r="B13" s="4"/>
      <c r="C13" s="4"/>
    </row>
    <row r="14" spans="1:3" ht="15.75" customHeight="1" x14ac:dyDescent="0.25">
      <c r="A14" s="46"/>
      <c r="B14" s="4"/>
      <c r="C14" s="4"/>
    </row>
    <row r="15" spans="1:3" ht="15.75" customHeight="1" x14ac:dyDescent="0.25">
      <c r="A15" s="47"/>
      <c r="B15" s="4"/>
      <c r="C15" s="4"/>
    </row>
    <row r="16" spans="1:3" ht="15.75" customHeight="1" x14ac:dyDescent="0.25">
      <c r="A16" s="45"/>
      <c r="B16" s="4"/>
      <c r="C16" s="4"/>
    </row>
    <row r="17" spans="1:3" ht="15.75" customHeight="1" x14ac:dyDescent="0.25">
      <c r="A17" s="46"/>
      <c r="B17" s="4"/>
      <c r="C17" s="4"/>
    </row>
    <row r="18" spans="1:3" ht="15.75" customHeight="1" x14ac:dyDescent="0.25">
      <c r="A18" s="46"/>
      <c r="B18" s="4"/>
      <c r="C18" s="4"/>
    </row>
    <row r="19" spans="1:3" ht="15.75" customHeight="1" x14ac:dyDescent="0.25">
      <c r="A19" s="46"/>
      <c r="B19" s="4"/>
      <c r="C19" s="4"/>
    </row>
    <row r="20" spans="1:3" ht="15.75" customHeight="1" x14ac:dyDescent="0.25">
      <c r="A20" s="47"/>
      <c r="B20" s="4"/>
      <c r="C20" s="4"/>
    </row>
    <row r="21" spans="1:3" ht="15.75" customHeight="1" x14ac:dyDescent="0.25">
      <c r="A21" s="4"/>
      <c r="B21" s="4"/>
      <c r="C21" s="4"/>
    </row>
  </sheetData>
  <mergeCells count="4">
    <mergeCell ref="A2:A5"/>
    <mergeCell ref="A6:A10"/>
    <mergeCell ref="A11:A15"/>
    <mergeCell ref="A16:A20"/>
  </mergeCells>
  <dataValidations count="1">
    <dataValidation type="list" allowBlank="1" sqref="C2:C21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9"/>
  <sheetViews>
    <sheetView workbookViewId="0">
      <selection activeCell="A131" sqref="A1:A139"/>
    </sheetView>
  </sheetViews>
  <sheetFormatPr defaultRowHeight="13.2" x14ac:dyDescent="0.25"/>
  <sheetData>
    <row r="1" spans="1:1" x14ac:dyDescent="0.25">
      <c r="A1" s="37" t="s">
        <v>63</v>
      </c>
    </row>
    <row r="3" spans="1:1" x14ac:dyDescent="0.25">
      <c r="A3" t="s">
        <v>64</v>
      </c>
    </row>
    <row r="5" spans="1:1" x14ac:dyDescent="0.25">
      <c r="A5" t="s">
        <v>65</v>
      </c>
    </row>
    <row r="7" spans="1:1" x14ac:dyDescent="0.25">
      <c r="A7" t="s">
        <v>66</v>
      </c>
    </row>
    <row r="8" spans="1:1" x14ac:dyDescent="0.25">
      <c r="A8" t="s">
        <v>67</v>
      </c>
    </row>
    <row r="9" spans="1:1" x14ac:dyDescent="0.25">
      <c r="A9" t="e">
        <f>- информацию о приложении.</f>
        <v>#NAME?</v>
      </c>
    </row>
    <row r="11" spans="1:1" x14ac:dyDescent="0.25">
      <c r="A11" t="s">
        <v>68</v>
      </c>
    </row>
    <row r="13" spans="1:1" x14ac:dyDescent="0.25">
      <c r="A13" t="s">
        <v>69</v>
      </c>
    </row>
    <row r="14" spans="1:1" x14ac:dyDescent="0.25">
      <c r="A14" t="e">
        <f>- Учётные данные для авторизации в приложении: логин: login2 пароль: password2.</f>
        <v>#NAME?</v>
      </c>
    </row>
    <row r="16" spans="1:1" x14ac:dyDescent="0.25">
      <c r="A16" t="s">
        <v>70</v>
      </c>
    </row>
    <row r="17" spans="1:1" x14ac:dyDescent="0.25">
      <c r="A17" t="s">
        <v>71</v>
      </c>
    </row>
    <row r="19" spans="1:1" x14ac:dyDescent="0.25">
      <c r="A19" t="s">
        <v>72</v>
      </c>
    </row>
    <row r="21" spans="1:1" x14ac:dyDescent="0.25">
      <c r="A21" t="s">
        <v>73</v>
      </c>
    </row>
    <row r="22" spans="1:1" x14ac:dyDescent="0.25">
      <c r="A22" t="s">
        <v>74</v>
      </c>
    </row>
    <row r="23" spans="1:1" x14ac:dyDescent="0.25">
      <c r="A23" t="s">
        <v>75</v>
      </c>
    </row>
    <row r="24" spans="1:1" x14ac:dyDescent="0.25">
      <c r="A24" t="s">
        <v>76</v>
      </c>
    </row>
    <row r="25" spans="1:1" x14ac:dyDescent="0.25">
      <c r="A25" t="s">
        <v>77</v>
      </c>
    </row>
    <row r="27" spans="1:1" x14ac:dyDescent="0.25">
      <c r="A27" t="s">
        <v>78</v>
      </c>
    </row>
    <row r="29" spans="1:1" x14ac:dyDescent="0.25">
      <c r="A29" t="s">
        <v>79</v>
      </c>
    </row>
    <row r="30" spans="1:1" x14ac:dyDescent="0.25">
      <c r="A30" t="s">
        <v>80</v>
      </c>
    </row>
    <row r="31" spans="1:1" x14ac:dyDescent="0.25">
      <c r="A31" t="s">
        <v>81</v>
      </c>
    </row>
    <row r="32" spans="1:1" x14ac:dyDescent="0.25">
      <c r="A32" t="e">
        <f>- о приложении.</f>
        <v>#NAME?</v>
      </c>
    </row>
    <row r="34" spans="1:1" x14ac:dyDescent="0.25">
      <c r="A34" t="s">
        <v>82</v>
      </c>
    </row>
    <row r="36" spans="1:1" x14ac:dyDescent="0.25">
      <c r="A36" t="s">
        <v>83</v>
      </c>
    </row>
    <row r="37" spans="1:1" x14ac:dyDescent="0.25">
      <c r="A37" t="s">
        <v>84</v>
      </c>
    </row>
    <row r="38" spans="1:1" x14ac:dyDescent="0.25">
      <c r="A38" t="s">
        <v>85</v>
      </c>
    </row>
    <row r="39" spans="1:1" x14ac:dyDescent="0.25">
      <c r="A39" t="s">
        <v>86</v>
      </c>
    </row>
    <row r="40" spans="1:1" x14ac:dyDescent="0.25">
      <c r="A40" t="s">
        <v>87</v>
      </c>
    </row>
    <row r="42" spans="1:1" x14ac:dyDescent="0.25">
      <c r="A42" t="s">
        <v>88</v>
      </c>
    </row>
    <row r="44" spans="1:1" x14ac:dyDescent="0.25">
      <c r="A44" t="s">
        <v>89</v>
      </c>
    </row>
    <row r="45" spans="1:1" x14ac:dyDescent="0.25">
      <c r="A45" t="s">
        <v>84</v>
      </c>
    </row>
    <row r="46" spans="1:1" x14ac:dyDescent="0.25">
      <c r="A46" t="s">
        <v>90</v>
      </c>
    </row>
    <row r="47" spans="1:1" x14ac:dyDescent="0.25">
      <c r="A47" t="s">
        <v>91</v>
      </c>
    </row>
    <row r="48" spans="1:1" x14ac:dyDescent="0.25">
      <c r="A48" t="s">
        <v>92</v>
      </c>
    </row>
    <row r="49" spans="1:1" x14ac:dyDescent="0.25">
      <c r="A49" t="s">
        <v>93</v>
      </c>
    </row>
    <row r="51" spans="1:1" x14ac:dyDescent="0.25">
      <c r="A51" t="s">
        <v>94</v>
      </c>
    </row>
    <row r="53" spans="1:1" x14ac:dyDescent="0.25">
      <c r="A53" t="s">
        <v>95</v>
      </c>
    </row>
    <row r="54" spans="1:1" x14ac:dyDescent="0.25">
      <c r="A54" t="s">
        <v>96</v>
      </c>
    </row>
    <row r="55" spans="1:1" x14ac:dyDescent="0.25">
      <c r="A55" t="s">
        <v>97</v>
      </c>
    </row>
    <row r="56" spans="1:1" x14ac:dyDescent="0.25">
      <c r="A56" t="s">
        <v>98</v>
      </c>
    </row>
    <row r="57" spans="1:1" x14ac:dyDescent="0.25">
      <c r="A57" t="e">
        <f>- Название производителя и год выпуска.</f>
        <v>#NAME?</v>
      </c>
    </row>
    <row r="59" spans="1:1" x14ac:dyDescent="0.25">
      <c r="A59" t="s">
        <v>99</v>
      </c>
    </row>
    <row r="61" spans="1:1" x14ac:dyDescent="0.25">
      <c r="A61" t="s">
        <v>100</v>
      </c>
    </row>
    <row r="62" spans="1:1" x14ac:dyDescent="0.25">
      <c r="A62" t="s">
        <v>101</v>
      </c>
    </row>
    <row r="63" spans="1:1" x14ac:dyDescent="0.25">
      <c r="A63" t="s">
        <v>102</v>
      </c>
    </row>
    <row r="64" spans="1:1" x14ac:dyDescent="0.25">
      <c r="A64" t="s">
        <v>103</v>
      </c>
    </row>
    <row r="65" spans="1:1" x14ac:dyDescent="0.25">
      <c r="A65" t="s">
        <v>104</v>
      </c>
    </row>
    <row r="67" spans="1:1" x14ac:dyDescent="0.25">
      <c r="A67" t="s">
        <v>105</v>
      </c>
    </row>
    <row r="69" spans="1:1" x14ac:dyDescent="0.25">
      <c r="A69" t="s">
        <v>106</v>
      </c>
    </row>
    <row r="70" spans="1:1" x14ac:dyDescent="0.25">
      <c r="A70" t="s">
        <v>84</v>
      </c>
    </row>
    <row r="71" spans="1:1" x14ac:dyDescent="0.25">
      <c r="A71" t="s">
        <v>107</v>
      </c>
    </row>
    <row r="72" spans="1:1" x14ac:dyDescent="0.25">
      <c r="A72" t="s">
        <v>108</v>
      </c>
    </row>
    <row r="73" spans="1:1" x14ac:dyDescent="0.25">
      <c r="A73" t="s">
        <v>109</v>
      </c>
    </row>
    <row r="74" spans="1:1" x14ac:dyDescent="0.25">
      <c r="A74" t="s">
        <v>110</v>
      </c>
    </row>
    <row r="76" spans="1:1" x14ac:dyDescent="0.25">
      <c r="A76" t="s">
        <v>111</v>
      </c>
    </row>
    <row r="78" spans="1:1" x14ac:dyDescent="0.25">
      <c r="A78" t="s">
        <v>112</v>
      </c>
    </row>
    <row r="79" spans="1:1" x14ac:dyDescent="0.25">
      <c r="A79" t="s">
        <v>113</v>
      </c>
    </row>
    <row r="80" spans="1:1" x14ac:dyDescent="0.25">
      <c r="A80" t="s">
        <v>114</v>
      </c>
    </row>
    <row r="81" spans="1:1" x14ac:dyDescent="0.25">
      <c r="A81" t="s">
        <v>115</v>
      </c>
    </row>
    <row r="82" spans="1:1" x14ac:dyDescent="0.25">
      <c r="A82" t="s">
        <v>116</v>
      </c>
    </row>
    <row r="83" spans="1:1" x14ac:dyDescent="0.25">
      <c r="A83" t="s">
        <v>117</v>
      </c>
    </row>
    <row r="85" spans="1:1" x14ac:dyDescent="0.25">
      <c r="A85" t="s">
        <v>118</v>
      </c>
    </row>
    <row r="87" spans="1:1" x14ac:dyDescent="0.25">
      <c r="A87" t="s">
        <v>119</v>
      </c>
    </row>
    <row r="88" spans="1:1" x14ac:dyDescent="0.25">
      <c r="A88" t="s">
        <v>120</v>
      </c>
    </row>
    <row r="89" spans="1:1" x14ac:dyDescent="0.25">
      <c r="A89" t="s">
        <v>121</v>
      </c>
    </row>
    <row r="90" spans="1:1" x14ac:dyDescent="0.25">
      <c r="A90" t="s">
        <v>122</v>
      </c>
    </row>
    <row r="91" spans="1:1" x14ac:dyDescent="0.25">
      <c r="A91" t="s">
        <v>123</v>
      </c>
    </row>
    <row r="92" spans="1:1" x14ac:dyDescent="0.25">
      <c r="A92" t="s">
        <v>124</v>
      </c>
    </row>
    <row r="93" spans="1:1" x14ac:dyDescent="0.25">
      <c r="A93" t="s">
        <v>125</v>
      </c>
    </row>
    <row r="95" spans="1:1" x14ac:dyDescent="0.25">
      <c r="A95" t="s">
        <v>126</v>
      </c>
    </row>
    <row r="97" spans="1:1" x14ac:dyDescent="0.25">
      <c r="A97" t="s">
        <v>127</v>
      </c>
    </row>
    <row r="98" spans="1:1" x14ac:dyDescent="0.25">
      <c r="A98" t="s">
        <v>120</v>
      </c>
    </row>
    <row r="99" spans="1:1" x14ac:dyDescent="0.25">
      <c r="A99" t="s">
        <v>121</v>
      </c>
    </row>
    <row r="100" spans="1:1" x14ac:dyDescent="0.25">
      <c r="A100" t="s">
        <v>122</v>
      </c>
    </row>
    <row r="101" spans="1:1" x14ac:dyDescent="0.25">
      <c r="A101" t="s">
        <v>123</v>
      </c>
    </row>
    <row r="102" spans="1:1" x14ac:dyDescent="0.25">
      <c r="A102" t="s">
        <v>124</v>
      </c>
    </row>
    <row r="103" spans="1:1" x14ac:dyDescent="0.25">
      <c r="A103" t="s">
        <v>115</v>
      </c>
    </row>
    <row r="104" spans="1:1" x14ac:dyDescent="0.25">
      <c r="A104" t="s">
        <v>125</v>
      </c>
    </row>
    <row r="106" spans="1:1" x14ac:dyDescent="0.25">
      <c r="A106" t="s">
        <v>128</v>
      </c>
    </row>
    <row r="108" spans="1:1" x14ac:dyDescent="0.25">
      <c r="A108" t="s">
        <v>129</v>
      </c>
    </row>
    <row r="110" spans="1:1" x14ac:dyDescent="0.25">
      <c r="A110" t="s">
        <v>130</v>
      </c>
    </row>
    <row r="112" spans="1:1" x14ac:dyDescent="0.25">
      <c r="A112" t="s">
        <v>131</v>
      </c>
    </row>
    <row r="113" spans="1:1" x14ac:dyDescent="0.25">
      <c r="A113" t="e">
        <f>- Соответствие функциональности заявленным требованиям.</f>
        <v>#NAME?</v>
      </c>
    </row>
    <row r="114" spans="1:1" x14ac:dyDescent="0.25">
      <c r="A114" t="s">
        <v>132</v>
      </c>
    </row>
    <row r="116" spans="1:1" x14ac:dyDescent="0.25">
      <c r="A116" t="s">
        <v>133</v>
      </c>
    </row>
    <row r="118" spans="1:1" x14ac:dyDescent="0.25">
      <c r="A118" t="s">
        <v>134</v>
      </c>
    </row>
    <row r="120" spans="1:1" x14ac:dyDescent="0.25">
      <c r="A120" t="s">
        <v>135</v>
      </c>
    </row>
    <row r="122" spans="1:1" x14ac:dyDescent="0.25">
      <c r="A122" t="s">
        <v>136</v>
      </c>
    </row>
    <row r="125" spans="1:1" x14ac:dyDescent="0.25">
      <c r="A125" t="s">
        <v>137</v>
      </c>
    </row>
    <row r="127" spans="1:1" x14ac:dyDescent="0.25">
      <c r="A127" t="e">
        <f>- Язык программирования для написания кода автотестов - JAVA</f>
        <v>#NAME?</v>
      </c>
    </row>
    <row r="128" spans="1:1" x14ac:dyDescent="0.25">
      <c r="A128" t="e">
        <f>- Среда разработки - Android Studio</f>
        <v>#NAME?</v>
      </c>
    </row>
    <row r="129" spans="1:1" x14ac:dyDescent="0.25">
      <c r="A129" t="s">
        <v>138</v>
      </c>
    </row>
    <row r="130" spans="1:1" x14ac:dyDescent="0.25">
      <c r="A130" t="e">
        <f>- Библиотека Espresso Testing Framework - нативный фреймворк для тестированияс открытым исходным кодом</f>
        <v>#NAME?</v>
      </c>
    </row>
    <row r="131" spans="1:1" x14ac:dyDescent="0.25">
      <c r="A131" t="s">
        <v>139</v>
      </c>
    </row>
    <row r="133" spans="1:1" x14ac:dyDescent="0.25">
      <c r="A133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ДЗ Версия 1</vt:lpstr>
      <vt:lpstr>ДЗ Версия 2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Быстрова</dc:creator>
  <cp:lastModifiedBy>Andproxy</cp:lastModifiedBy>
  <dcterms:created xsi:type="dcterms:W3CDTF">2024-08-06T18:25:43Z</dcterms:created>
  <dcterms:modified xsi:type="dcterms:W3CDTF">2024-09-30T15:49:21Z</dcterms:modified>
</cp:coreProperties>
</file>